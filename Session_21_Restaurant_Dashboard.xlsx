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lex\Downloads\"/>
    </mc:Choice>
  </mc:AlternateContent>
  <bookViews>
    <workbookView xWindow="0" yWindow="0" windowWidth="23040" windowHeight="9264" tabRatio="500"/>
  </bookViews>
  <sheets>
    <sheet name="Restaurants" sheetId="1" r:id="rId1"/>
    <sheet name="Dashboard" sheetId="2" r:id="rId2"/>
    <sheet name="Read Me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2" l="1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</calcChain>
</file>

<file path=xl/sharedStrings.xml><?xml version="1.0" encoding="utf-8"?>
<sst xmlns="http://schemas.openxmlformats.org/spreadsheetml/2006/main" count="172" uniqueCount="65">
  <si>
    <t>Restaurants — Source Data</t>
  </si>
  <si>
    <t>Sample data standing in for the 'Restaurants' table in SQL Server. In the real workflow (see companion guide, Task 1) this sheet is populated by a Power Query connection instead of being typed in.</t>
  </si>
  <si>
    <t>RestaurantID</t>
  </si>
  <si>
    <t>Name</t>
  </si>
  <si>
    <t>Cuisine</t>
  </si>
  <si>
    <t>City</t>
  </si>
  <si>
    <t>Rating</t>
  </si>
  <si>
    <t>Golden Dragon</t>
  </si>
  <si>
    <t>Chinese</t>
  </si>
  <si>
    <t>Ahmedabad</t>
  </si>
  <si>
    <t>Wok This Way</t>
  </si>
  <si>
    <t>Mumbai</t>
  </si>
  <si>
    <t>Panda Garden</t>
  </si>
  <si>
    <t>Chennai</t>
  </si>
  <si>
    <t>Szechuan House</t>
  </si>
  <si>
    <t>Sagar Ratna</t>
  </si>
  <si>
    <t>South Indian</t>
  </si>
  <si>
    <t>Dosa Junction</t>
  </si>
  <si>
    <t>Coconut Grove</t>
  </si>
  <si>
    <t>Madras Cafe</t>
  </si>
  <si>
    <t>Pune</t>
  </si>
  <si>
    <t>Punjab Grill</t>
  </si>
  <si>
    <t>North Indian</t>
  </si>
  <si>
    <t>Tandoor Nights</t>
  </si>
  <si>
    <t>Dhaba Express</t>
  </si>
  <si>
    <t>Butter Street</t>
  </si>
  <si>
    <t>Bengaluru</t>
  </si>
  <si>
    <t>Bella Roma</t>
  </si>
  <si>
    <t>Italian</t>
  </si>
  <si>
    <t>Pasta Vino</t>
  </si>
  <si>
    <t>Little Italy</t>
  </si>
  <si>
    <t>Trattoria Sole</t>
  </si>
  <si>
    <t>El Toro</t>
  </si>
  <si>
    <t>Mexican</t>
  </si>
  <si>
    <t>Casa Fiesta</t>
  </si>
  <si>
    <t>Delhi</t>
  </si>
  <si>
    <t>Taco Libre</t>
  </si>
  <si>
    <t>Hyderabad</t>
  </si>
  <si>
    <t>Salsa Verde</t>
  </si>
  <si>
    <t>Bangkok Street</t>
  </si>
  <si>
    <t>Thai</t>
  </si>
  <si>
    <t>Thai Orchid</t>
  </si>
  <si>
    <t>Lemongrass</t>
  </si>
  <si>
    <t>Siam Kitchen</t>
  </si>
  <si>
    <t>The Bistro Co</t>
  </si>
  <si>
    <t>Continental</t>
  </si>
  <si>
    <t>Fork &amp; Flame</t>
  </si>
  <si>
    <t>Vine &amp; Vintage</t>
  </si>
  <si>
    <t>The Grillhouse</t>
  </si>
  <si>
    <t>Sakura Sushi</t>
  </si>
  <si>
    <t>Japanese</t>
  </si>
  <si>
    <t>Umi Kitchen</t>
  </si>
  <si>
    <t>Tokyo Table</t>
  </si>
  <si>
    <t>Sushi Sen</t>
  </si>
  <si>
    <t>Restaurant Ratings Dashboard</t>
  </si>
  <si>
    <t>Filtered to restaurants with Rating &gt; 4.0, sourced from the 'Restaurants' sheet.</t>
  </si>
  <si>
    <t>Restaurants Rated Above 4.0</t>
  </si>
  <si>
    <t>Average Rating by Cuisine (Restaurants Rated Above 4.0)</t>
  </si>
  <si>
    <t>Count (&gt;4.0)</t>
  </si>
  <si>
    <t>Avg Rating (&gt;4.0)</t>
  </si>
  <si>
    <t>Read Me — Scope of This Workbook</t>
  </si>
  <si>
    <t>This workbook covers Task 4 of the assignment (rating filter + dashboard + bar chart) using realistic sample data, since no live SQL Server database was available to connect to.</t>
  </si>
  <si>
    <t>Sheet 'Restaurants': sample source data, structured exactly like the SQL Server table (RestaurantID, Name, Cuisine, City, Rating), formatted as an Excel Table.</t>
  </si>
  <si>
    <t>Sheet 'Dashboard': the filtered list of restaurants rated above 4.0, a formula-driven summary table (COUNTIFS / AVERAGEIFS) by cuisine, and a bar chart built from that summary.</t>
  </si>
  <si>
    <t>Tasks 1, 2, 3, and 5 require an actual SQL Server connection and Excel Desktop's Power Query 'Get Data' interface, which cannot be executed outside that application. The companion document 'Restaurant_PowerQuery_Guide.md' provided alongside this file contains the exact M code, Manage Parameters steps, and SQL needed to reproduce them once you have access to Excel Desktop and a SQL Server instance (a free local install such as SQL Server Express + SSMS works for testing).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</si>
</sst>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  <font>
      <i/>
      <sz val="9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5" fillId="0" borderId="0" xfId="0" applyFont="1"/>
    <xf numFmtId="2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Rating by Cuisine (Rating &gt; 4.0)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9405606599579"/>
          <c:y val="0.15399434031860201"/>
          <c:w val="0.67879881679316711"/>
          <c:h val="0.5569653848813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Dashboard!$H$2</c:f>
              <c:strCache>
                <c:ptCount val="1"/>
                <c:pt idx="0">
                  <c:v>Avg Rating (&gt;4.0)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Dashboard!$F$3:$F$10</c:f>
              <c:strCache>
                <c:ptCount val="8"/>
                <c:pt idx="0">
                  <c:v>Chinese</c:v>
                </c:pt>
                <c:pt idx="1">
                  <c:v>South Indian</c:v>
                </c:pt>
                <c:pt idx="2">
                  <c:v>North Indian</c:v>
                </c:pt>
                <c:pt idx="3">
                  <c:v>Italian</c:v>
                </c:pt>
                <c:pt idx="4">
                  <c:v>Mexican</c:v>
                </c:pt>
                <c:pt idx="5">
                  <c:v>Thai</c:v>
                </c:pt>
                <c:pt idx="6">
                  <c:v>Continental</c:v>
                </c:pt>
                <c:pt idx="7">
                  <c:v>Japanese</c:v>
                </c:pt>
              </c:strCache>
            </c:strRef>
          </c:cat>
          <c:val>
            <c:numRef>
              <c:f>Dashboard!$H$3:$H$10</c:f>
              <c:numCache>
                <c:formatCode>0.00</c:formatCode>
                <c:ptCount val="8"/>
                <c:pt idx="0">
                  <c:v>4.3000000000000007</c:v>
                </c:pt>
                <c:pt idx="1">
                  <c:v>4.4499999999999993</c:v>
                </c:pt>
                <c:pt idx="2">
                  <c:v>4.4000000000000004</c:v>
                </c:pt>
                <c:pt idx="3">
                  <c:v>4.4666666666666659</c:v>
                </c:pt>
                <c:pt idx="4">
                  <c:v>4.9000000000000004</c:v>
                </c:pt>
                <c:pt idx="5">
                  <c:v>4.75</c:v>
                </c:pt>
                <c:pt idx="6">
                  <c:v>4.4666666666666668</c:v>
                </c:pt>
                <c:pt idx="7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1138352"/>
        <c:axId val="-2111131824"/>
      </c:barChart>
      <c:catAx>
        <c:axId val="-2111138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Cuisine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2111131824"/>
        <c:crosses val="autoZero"/>
        <c:auto val="1"/>
        <c:lblAlgn val="ctr"/>
        <c:lblOffset val="100"/>
        <c:noMultiLvlLbl val="0"/>
      </c:catAx>
      <c:valAx>
        <c:axId val="-2111131824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Rating</a:t>
                </a:r>
              </a:p>
            </c:rich>
          </c:tx>
          <c:layout>
            <c:manualLayout>
              <c:xMode val="edge"/>
              <c:yMode val="edge"/>
              <c:x val="2.8185178844312556E-2"/>
              <c:y val="0.30658067639532471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2111138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563880</xdr:colOff>
      <xdr:row>10</xdr:row>
      <xdr:rowOff>153900</xdr:rowOff>
    </xdr:from>
    <xdr:to>
      <xdr:col>7</xdr:col>
      <xdr:colOff>791400</xdr:colOff>
      <xdr:row>29</xdr:row>
      <xdr:rowOff>149340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RestaurantsTbl" displayName="RestaurantsTbl" ref="A4:E36" totalsRowShown="0">
  <autoFilter ref="A4:E36"/>
  <tableColumns count="5">
    <tableColumn id="1" name="RestaurantID"/>
    <tableColumn id="2" name="Name"/>
    <tableColumn id="3" name="Cuisine"/>
    <tableColumn id="4" name="City"/>
    <tableColumn id="5" name="Ratin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FilteredTbl" displayName="FilteredTbl" ref="A6:D21" totalsRowShown="0">
  <autoFilter ref="A6:D21"/>
  <tableColumns count="4">
    <tableColumn id="1" name="Name"/>
    <tableColumn id="2" name="Cuisine"/>
    <tableColumn id="3" name="City"/>
    <tableColumn id="4" name="Ratin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SummaryTbl" displayName="SummaryTbl" ref="F2:H10" totalsRowShown="0">
  <autoFilter ref="F2:H10"/>
  <tableColumns count="3">
    <tableColumn id="1" name="Cuisine"/>
    <tableColumn id="2" name="Count (&gt;4.0)">
      <calculatedColumnFormula>COUNTIFS(Restaurants!$C$5:$C$36,F3,Restaurants!$E$5:$E$36,"&gt;4.0")</calculatedColumnFormula>
    </tableColumn>
    <tableColumn id="3" name="Avg Rating (&gt;4.0)">
      <calculatedColumnFormula>IFERROR(AVERAGEIFS(Restaurants!$E$5:$E$36,Restaurants!$C$5:$C$36,F3,Restaurants!$E$5:$E$36,"&gt;4.0"),0)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zoomScaleNormal="100" workbookViewId="0">
      <pane ySplit="4" topLeftCell="A5" activePane="bottomLeft" state="frozen"/>
      <selection pane="bottomLeft" activeCell="A2" sqref="A2:E2"/>
    </sheetView>
  </sheetViews>
  <sheetFormatPr defaultColWidth="8.6640625" defaultRowHeight="14.4" x14ac:dyDescent="0.3"/>
  <cols>
    <col min="1" max="1" width="13" customWidth="1"/>
    <col min="2" max="2" width="20" customWidth="1"/>
    <col min="3" max="3" width="15" customWidth="1"/>
    <col min="4" max="4" width="14" customWidth="1"/>
    <col min="5" max="5" width="10" customWidth="1"/>
  </cols>
  <sheetData>
    <row r="1" spans="1:5" ht="21" x14ac:dyDescent="0.4">
      <c r="A1" s="10" t="s">
        <v>0</v>
      </c>
      <c r="B1" s="10"/>
      <c r="C1" s="10"/>
      <c r="D1" s="10"/>
      <c r="E1" s="10"/>
    </row>
    <row r="2" spans="1:5" ht="30" customHeight="1" x14ac:dyDescent="0.3">
      <c r="A2" s="1" t="s">
        <v>1</v>
      </c>
      <c r="B2" s="1"/>
      <c r="C2" s="1"/>
      <c r="D2" s="1"/>
      <c r="E2" s="1"/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4">
        <v>1</v>
      </c>
      <c r="B5" s="5" t="s">
        <v>7</v>
      </c>
      <c r="C5" s="5" t="s">
        <v>8</v>
      </c>
      <c r="D5" s="5" t="s">
        <v>9</v>
      </c>
      <c r="E5" s="6">
        <v>4.2</v>
      </c>
    </row>
    <row r="6" spans="1:5" x14ac:dyDescent="0.3">
      <c r="A6" s="4">
        <v>2</v>
      </c>
      <c r="B6" s="5" t="s">
        <v>10</v>
      </c>
      <c r="C6" s="5" t="s">
        <v>8</v>
      </c>
      <c r="D6" s="5" t="s">
        <v>11</v>
      </c>
      <c r="E6" s="6">
        <v>4.4000000000000004</v>
      </c>
    </row>
    <row r="7" spans="1:5" x14ac:dyDescent="0.3">
      <c r="A7" s="4">
        <v>3</v>
      </c>
      <c r="B7" s="5" t="s">
        <v>12</v>
      </c>
      <c r="C7" s="5" t="s">
        <v>8</v>
      </c>
      <c r="D7" s="5" t="s">
        <v>13</v>
      </c>
      <c r="E7" s="6">
        <v>3.3</v>
      </c>
    </row>
    <row r="8" spans="1:5" x14ac:dyDescent="0.3">
      <c r="A8" s="4">
        <v>4</v>
      </c>
      <c r="B8" s="5" t="s">
        <v>14</v>
      </c>
      <c r="C8" s="5" t="s">
        <v>8</v>
      </c>
      <c r="D8" s="5" t="s">
        <v>13</v>
      </c>
      <c r="E8" s="6">
        <v>3</v>
      </c>
    </row>
    <row r="9" spans="1:5" x14ac:dyDescent="0.3">
      <c r="A9" s="4">
        <v>5</v>
      </c>
      <c r="B9" s="5" t="s">
        <v>15</v>
      </c>
      <c r="C9" s="5" t="s">
        <v>16</v>
      </c>
      <c r="D9" s="5" t="s">
        <v>9</v>
      </c>
      <c r="E9" s="6">
        <v>4.8</v>
      </c>
    </row>
    <row r="10" spans="1:5" x14ac:dyDescent="0.3">
      <c r="A10" s="4">
        <v>6</v>
      </c>
      <c r="B10" s="5" t="s">
        <v>17</v>
      </c>
      <c r="C10" s="5" t="s">
        <v>16</v>
      </c>
      <c r="D10" s="5" t="s">
        <v>9</v>
      </c>
      <c r="E10" s="6">
        <v>4.0999999999999996</v>
      </c>
    </row>
    <row r="11" spans="1:5" x14ac:dyDescent="0.3">
      <c r="A11" s="4">
        <v>7</v>
      </c>
      <c r="B11" s="5" t="s">
        <v>18</v>
      </c>
      <c r="C11" s="5" t="s">
        <v>16</v>
      </c>
      <c r="D11" s="5" t="s">
        <v>11</v>
      </c>
      <c r="E11" s="6">
        <v>2.9</v>
      </c>
    </row>
    <row r="12" spans="1:5" x14ac:dyDescent="0.3">
      <c r="A12" s="4">
        <v>8</v>
      </c>
      <c r="B12" s="5" t="s">
        <v>19</v>
      </c>
      <c r="C12" s="5" t="s">
        <v>16</v>
      </c>
      <c r="D12" s="5" t="s">
        <v>20</v>
      </c>
      <c r="E12" s="6">
        <v>3.3</v>
      </c>
    </row>
    <row r="13" spans="1:5" x14ac:dyDescent="0.3">
      <c r="A13" s="4">
        <v>9</v>
      </c>
      <c r="B13" s="5" t="s">
        <v>21</v>
      </c>
      <c r="C13" s="5" t="s">
        <v>22</v>
      </c>
      <c r="D13" s="5" t="s">
        <v>11</v>
      </c>
      <c r="E13" s="6">
        <v>2.9</v>
      </c>
    </row>
    <row r="14" spans="1:5" x14ac:dyDescent="0.3">
      <c r="A14" s="4">
        <v>10</v>
      </c>
      <c r="B14" s="5" t="s">
        <v>23</v>
      </c>
      <c r="C14" s="5" t="s">
        <v>22</v>
      </c>
      <c r="D14" s="5" t="s">
        <v>13</v>
      </c>
      <c r="E14" s="6">
        <v>4.4000000000000004</v>
      </c>
    </row>
    <row r="15" spans="1:5" x14ac:dyDescent="0.3">
      <c r="A15" s="4">
        <v>11</v>
      </c>
      <c r="B15" s="5" t="s">
        <v>24</v>
      </c>
      <c r="C15" s="5" t="s">
        <v>22</v>
      </c>
      <c r="D15" s="5" t="s">
        <v>11</v>
      </c>
      <c r="E15" s="6">
        <v>4</v>
      </c>
    </row>
    <row r="16" spans="1:5" x14ac:dyDescent="0.3">
      <c r="A16" s="4">
        <v>12</v>
      </c>
      <c r="B16" s="5" t="s">
        <v>25</v>
      </c>
      <c r="C16" s="5" t="s">
        <v>22</v>
      </c>
      <c r="D16" s="5" t="s">
        <v>26</v>
      </c>
      <c r="E16" s="6">
        <v>3.8</v>
      </c>
    </row>
    <row r="17" spans="1:5" x14ac:dyDescent="0.3">
      <c r="A17" s="4">
        <v>13</v>
      </c>
      <c r="B17" s="5" t="s">
        <v>27</v>
      </c>
      <c r="C17" s="5" t="s">
        <v>28</v>
      </c>
      <c r="D17" s="5" t="s">
        <v>9</v>
      </c>
      <c r="E17" s="6">
        <v>4.5999999999999996</v>
      </c>
    </row>
    <row r="18" spans="1:5" x14ac:dyDescent="0.3">
      <c r="A18" s="4">
        <v>14</v>
      </c>
      <c r="B18" s="5" t="s">
        <v>29</v>
      </c>
      <c r="C18" s="5" t="s">
        <v>28</v>
      </c>
      <c r="D18" s="5" t="s">
        <v>11</v>
      </c>
      <c r="E18" s="6">
        <v>4.5</v>
      </c>
    </row>
    <row r="19" spans="1:5" x14ac:dyDescent="0.3">
      <c r="A19" s="4">
        <v>15</v>
      </c>
      <c r="B19" s="5" t="s">
        <v>30</v>
      </c>
      <c r="C19" s="5" t="s">
        <v>28</v>
      </c>
      <c r="D19" s="5" t="s">
        <v>26</v>
      </c>
      <c r="E19" s="6">
        <v>4.3</v>
      </c>
    </row>
    <row r="20" spans="1:5" x14ac:dyDescent="0.3">
      <c r="A20" s="4">
        <v>16</v>
      </c>
      <c r="B20" s="5" t="s">
        <v>31</v>
      </c>
      <c r="C20" s="5" t="s">
        <v>28</v>
      </c>
      <c r="D20" s="5" t="s">
        <v>11</v>
      </c>
      <c r="E20" s="6">
        <v>3.4</v>
      </c>
    </row>
    <row r="21" spans="1:5" x14ac:dyDescent="0.3">
      <c r="A21" s="4">
        <v>17</v>
      </c>
      <c r="B21" s="5" t="s">
        <v>32</v>
      </c>
      <c r="C21" s="5" t="s">
        <v>33</v>
      </c>
      <c r="D21" s="5" t="s">
        <v>26</v>
      </c>
      <c r="E21" s="6">
        <v>4.9000000000000004</v>
      </c>
    </row>
    <row r="22" spans="1:5" x14ac:dyDescent="0.3">
      <c r="A22" s="4">
        <v>18</v>
      </c>
      <c r="B22" s="5" t="s">
        <v>34</v>
      </c>
      <c r="C22" s="5" t="s">
        <v>33</v>
      </c>
      <c r="D22" s="5" t="s">
        <v>35</v>
      </c>
      <c r="E22" s="6">
        <v>3</v>
      </c>
    </row>
    <row r="23" spans="1:5" x14ac:dyDescent="0.3">
      <c r="A23" s="4">
        <v>19</v>
      </c>
      <c r="B23" s="5" t="s">
        <v>36</v>
      </c>
      <c r="C23" s="5" t="s">
        <v>33</v>
      </c>
      <c r="D23" s="5" t="s">
        <v>37</v>
      </c>
      <c r="E23" s="6">
        <v>3</v>
      </c>
    </row>
    <row r="24" spans="1:5" x14ac:dyDescent="0.3">
      <c r="A24" s="4">
        <v>20</v>
      </c>
      <c r="B24" s="5" t="s">
        <v>38</v>
      </c>
      <c r="C24" s="5" t="s">
        <v>33</v>
      </c>
      <c r="D24" s="5" t="s">
        <v>26</v>
      </c>
      <c r="E24" s="6">
        <v>3.6</v>
      </c>
    </row>
    <row r="25" spans="1:5" x14ac:dyDescent="0.3">
      <c r="A25" s="4">
        <v>21</v>
      </c>
      <c r="B25" s="5" t="s">
        <v>39</v>
      </c>
      <c r="C25" s="5" t="s">
        <v>40</v>
      </c>
      <c r="D25" s="5" t="s">
        <v>13</v>
      </c>
      <c r="E25" s="6">
        <v>4.5999999999999996</v>
      </c>
    </row>
    <row r="26" spans="1:5" x14ac:dyDescent="0.3">
      <c r="A26" s="4">
        <v>22</v>
      </c>
      <c r="B26" s="5" t="s">
        <v>41</v>
      </c>
      <c r="C26" s="5" t="s">
        <v>40</v>
      </c>
      <c r="D26" s="5" t="s">
        <v>9</v>
      </c>
      <c r="E26" s="6">
        <v>3.8</v>
      </c>
    </row>
    <row r="27" spans="1:5" x14ac:dyDescent="0.3">
      <c r="A27" s="4">
        <v>23</v>
      </c>
      <c r="B27" s="5" t="s">
        <v>42</v>
      </c>
      <c r="C27" s="5" t="s">
        <v>40</v>
      </c>
      <c r="D27" s="5" t="s">
        <v>35</v>
      </c>
      <c r="E27" s="6">
        <v>4.9000000000000004</v>
      </c>
    </row>
    <row r="28" spans="1:5" x14ac:dyDescent="0.3">
      <c r="A28" s="4">
        <v>24</v>
      </c>
      <c r="B28" s="5" t="s">
        <v>43</v>
      </c>
      <c r="C28" s="5" t="s">
        <v>40</v>
      </c>
      <c r="D28" s="5" t="s">
        <v>26</v>
      </c>
      <c r="E28" s="6">
        <v>3</v>
      </c>
    </row>
    <row r="29" spans="1:5" x14ac:dyDescent="0.3">
      <c r="A29" s="4">
        <v>25</v>
      </c>
      <c r="B29" s="5" t="s">
        <v>44</v>
      </c>
      <c r="C29" s="5" t="s">
        <v>45</v>
      </c>
      <c r="D29" s="5" t="s">
        <v>20</v>
      </c>
      <c r="E29" s="6">
        <v>4.5999999999999996</v>
      </c>
    </row>
    <row r="30" spans="1:5" x14ac:dyDescent="0.3">
      <c r="A30" s="4">
        <v>26</v>
      </c>
      <c r="B30" s="5" t="s">
        <v>46</v>
      </c>
      <c r="C30" s="5" t="s">
        <v>45</v>
      </c>
      <c r="D30" s="5" t="s">
        <v>26</v>
      </c>
      <c r="E30" s="6">
        <v>4.7</v>
      </c>
    </row>
    <row r="31" spans="1:5" x14ac:dyDescent="0.3">
      <c r="A31" s="4">
        <v>27</v>
      </c>
      <c r="B31" s="5" t="s">
        <v>47</v>
      </c>
      <c r="C31" s="5" t="s">
        <v>45</v>
      </c>
      <c r="D31" s="5" t="s">
        <v>13</v>
      </c>
      <c r="E31" s="6">
        <v>4.0999999999999996</v>
      </c>
    </row>
    <row r="32" spans="1:5" x14ac:dyDescent="0.3">
      <c r="A32" s="4">
        <v>28</v>
      </c>
      <c r="B32" s="5" t="s">
        <v>48</v>
      </c>
      <c r="C32" s="5" t="s">
        <v>45</v>
      </c>
      <c r="D32" s="5" t="s">
        <v>13</v>
      </c>
      <c r="E32" s="6">
        <v>3</v>
      </c>
    </row>
    <row r="33" spans="1:5" x14ac:dyDescent="0.3">
      <c r="A33" s="4">
        <v>29</v>
      </c>
      <c r="B33" s="5" t="s">
        <v>49</v>
      </c>
      <c r="C33" s="5" t="s">
        <v>50</v>
      </c>
      <c r="D33" s="5" t="s">
        <v>26</v>
      </c>
      <c r="E33" s="6">
        <v>3.3</v>
      </c>
    </row>
    <row r="34" spans="1:5" x14ac:dyDescent="0.3">
      <c r="A34" s="4">
        <v>30</v>
      </c>
      <c r="B34" s="5" t="s">
        <v>51</v>
      </c>
      <c r="C34" s="5" t="s">
        <v>50</v>
      </c>
      <c r="D34" s="5" t="s">
        <v>37</v>
      </c>
      <c r="E34" s="6">
        <v>5</v>
      </c>
    </row>
    <row r="35" spans="1:5" x14ac:dyDescent="0.3">
      <c r="A35" s="4">
        <v>31</v>
      </c>
      <c r="B35" s="5" t="s">
        <v>52</v>
      </c>
      <c r="C35" s="5" t="s">
        <v>50</v>
      </c>
      <c r="D35" s="5" t="s">
        <v>9</v>
      </c>
      <c r="E35" s="6">
        <v>3.3</v>
      </c>
    </row>
    <row r="36" spans="1:5" x14ac:dyDescent="0.3">
      <c r="A36" s="4">
        <v>32</v>
      </c>
      <c r="B36" s="5" t="s">
        <v>53</v>
      </c>
      <c r="C36" s="5" t="s">
        <v>50</v>
      </c>
      <c r="D36" s="5" t="s">
        <v>35</v>
      </c>
      <c r="E36" s="6">
        <v>3.6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zoomScaleNormal="100" workbookViewId="0">
      <selection activeCell="J14" sqref="J14"/>
    </sheetView>
  </sheetViews>
  <sheetFormatPr defaultColWidth="8.6640625" defaultRowHeight="14.4" x14ac:dyDescent="0.3"/>
  <cols>
    <col min="1" max="1" width="22" customWidth="1"/>
    <col min="2" max="2" width="15" customWidth="1"/>
    <col min="3" max="3" width="18" customWidth="1"/>
    <col min="4" max="4" width="13" customWidth="1"/>
    <col min="6" max="6" width="62.88671875" bestFit="1" customWidth="1"/>
    <col min="7" max="7" width="17.109375" bestFit="1" customWidth="1"/>
    <col min="8" max="8" width="22.21875" bestFit="1" customWidth="1"/>
  </cols>
  <sheetData>
    <row r="1" spans="1:8" ht="21" x14ac:dyDescent="0.4">
      <c r="A1" s="10" t="s">
        <v>54</v>
      </c>
      <c r="B1" s="10"/>
      <c r="C1" s="10"/>
      <c r="D1" s="10"/>
      <c r="F1" s="7" t="s">
        <v>57</v>
      </c>
    </row>
    <row r="2" spans="1:8" x14ac:dyDescent="0.3">
      <c r="A2" s="11" t="s">
        <v>55</v>
      </c>
      <c r="B2" s="11"/>
      <c r="C2" s="11"/>
      <c r="D2" s="11"/>
      <c r="F2" s="3" t="s">
        <v>4</v>
      </c>
      <c r="G2" s="3" t="s">
        <v>58</v>
      </c>
      <c r="H2" s="3" t="s">
        <v>59</v>
      </c>
    </row>
    <row r="3" spans="1:8" x14ac:dyDescent="0.3">
      <c r="A3" s="12"/>
      <c r="B3" s="12"/>
      <c r="C3" s="12"/>
      <c r="D3" s="12"/>
      <c r="F3" s="5" t="s">
        <v>8</v>
      </c>
      <c r="G3" s="4">
        <f>COUNTIFS(Restaurants!$C$5:$C$36,F3,Restaurants!$E$5:$E$36,"&gt;4.0")</f>
        <v>2</v>
      </c>
      <c r="H3" s="8">
        <f>IFERROR(AVERAGEIFS(Restaurants!$E$5:$E$36,Restaurants!$C$5:$C$36,F3,Restaurants!$E$5:$E$36,"&gt;4.0"),0)</f>
        <v>4.3000000000000007</v>
      </c>
    </row>
    <row r="4" spans="1:8" x14ac:dyDescent="0.3">
      <c r="F4" s="5" t="s">
        <v>16</v>
      </c>
      <c r="G4" s="4">
        <f>COUNTIFS(Restaurants!$C$5:$C$36,F4,Restaurants!$E$5:$E$36,"&gt;4.0")</f>
        <v>2</v>
      </c>
      <c r="H4" s="8">
        <f>IFERROR(AVERAGEIFS(Restaurants!$E$5:$E$36,Restaurants!$C$5:$C$36,F4,Restaurants!$E$5:$E$36,"&gt;4.0"),0)</f>
        <v>4.4499999999999993</v>
      </c>
    </row>
    <row r="5" spans="1:8" ht="15.6" x14ac:dyDescent="0.3">
      <c r="A5" s="7" t="s">
        <v>56</v>
      </c>
      <c r="F5" s="5" t="s">
        <v>22</v>
      </c>
      <c r="G5" s="4">
        <f>COUNTIFS(Restaurants!$C$5:$C$36,F5,Restaurants!$E$5:$E$36,"&gt;4.0")</f>
        <v>1</v>
      </c>
      <c r="H5" s="8">
        <f>IFERROR(AVERAGEIFS(Restaurants!$E$5:$E$36,Restaurants!$C$5:$C$36,F5,Restaurants!$E$5:$E$36,"&gt;4.0"),0)</f>
        <v>4.4000000000000004</v>
      </c>
    </row>
    <row r="6" spans="1:8" x14ac:dyDescent="0.3">
      <c r="A6" s="3" t="s">
        <v>3</v>
      </c>
      <c r="B6" s="3" t="s">
        <v>4</v>
      </c>
      <c r="C6" s="3" t="s">
        <v>5</v>
      </c>
      <c r="D6" s="3" t="s">
        <v>6</v>
      </c>
      <c r="F6" s="5" t="s">
        <v>28</v>
      </c>
      <c r="G6" s="4">
        <f>COUNTIFS(Restaurants!$C$5:$C$36,F6,Restaurants!$E$5:$E$36,"&gt;4.0")</f>
        <v>3</v>
      </c>
      <c r="H6" s="8">
        <f>IFERROR(AVERAGEIFS(Restaurants!$E$5:$E$36,Restaurants!$C$5:$C$36,F6,Restaurants!$E$5:$E$36,"&gt;4.0"),0)</f>
        <v>4.4666666666666659</v>
      </c>
    </row>
    <row r="7" spans="1:8" x14ac:dyDescent="0.3">
      <c r="A7" s="5" t="s">
        <v>51</v>
      </c>
      <c r="B7" s="5" t="s">
        <v>50</v>
      </c>
      <c r="C7" s="5" t="s">
        <v>37</v>
      </c>
      <c r="D7" s="6">
        <v>5</v>
      </c>
      <c r="F7" s="5" t="s">
        <v>33</v>
      </c>
      <c r="G7" s="4">
        <f>COUNTIFS(Restaurants!$C$5:$C$36,F7,Restaurants!$E$5:$E$36,"&gt;4.0")</f>
        <v>1</v>
      </c>
      <c r="H7" s="8">
        <f>IFERROR(AVERAGEIFS(Restaurants!$E$5:$E$36,Restaurants!$C$5:$C$36,F7,Restaurants!$E$5:$E$36,"&gt;4.0"),0)</f>
        <v>4.9000000000000004</v>
      </c>
    </row>
    <row r="8" spans="1:8" x14ac:dyDescent="0.3">
      <c r="A8" s="5" t="s">
        <v>32</v>
      </c>
      <c r="B8" s="5" t="s">
        <v>33</v>
      </c>
      <c r="C8" s="5" t="s">
        <v>26</v>
      </c>
      <c r="D8" s="6">
        <v>4.9000000000000004</v>
      </c>
      <c r="F8" s="5" t="s">
        <v>40</v>
      </c>
      <c r="G8" s="4">
        <f>COUNTIFS(Restaurants!$C$5:$C$36,F8,Restaurants!$E$5:$E$36,"&gt;4.0")</f>
        <v>2</v>
      </c>
      <c r="H8" s="8">
        <f>IFERROR(AVERAGEIFS(Restaurants!$E$5:$E$36,Restaurants!$C$5:$C$36,F8,Restaurants!$E$5:$E$36,"&gt;4.0"),0)</f>
        <v>4.75</v>
      </c>
    </row>
    <row r="9" spans="1:8" x14ac:dyDescent="0.3">
      <c r="A9" s="5" t="s">
        <v>42</v>
      </c>
      <c r="B9" s="5" t="s">
        <v>40</v>
      </c>
      <c r="C9" s="5" t="s">
        <v>35</v>
      </c>
      <c r="D9" s="6">
        <v>4.9000000000000004</v>
      </c>
      <c r="F9" s="5" t="s">
        <v>45</v>
      </c>
      <c r="G9" s="4">
        <f>COUNTIFS(Restaurants!$C$5:$C$36,F9,Restaurants!$E$5:$E$36,"&gt;4.0")</f>
        <v>3</v>
      </c>
      <c r="H9" s="8">
        <f>IFERROR(AVERAGEIFS(Restaurants!$E$5:$E$36,Restaurants!$C$5:$C$36,F9,Restaurants!$E$5:$E$36,"&gt;4.0"),0)</f>
        <v>4.4666666666666668</v>
      </c>
    </row>
    <row r="10" spans="1:8" x14ac:dyDescent="0.3">
      <c r="A10" s="5" t="s">
        <v>15</v>
      </c>
      <c r="B10" s="5" t="s">
        <v>16</v>
      </c>
      <c r="C10" s="5" t="s">
        <v>9</v>
      </c>
      <c r="D10" s="6">
        <v>4.8</v>
      </c>
      <c r="F10" s="5" t="s">
        <v>50</v>
      </c>
      <c r="G10" s="4">
        <f>COUNTIFS(Restaurants!$C$5:$C$36,F10,Restaurants!$E$5:$E$36,"&gt;4.0")</f>
        <v>1</v>
      </c>
      <c r="H10" s="8">
        <f>IFERROR(AVERAGEIFS(Restaurants!$E$5:$E$36,Restaurants!$C$5:$C$36,F10,Restaurants!$E$5:$E$36,"&gt;4.0"),0)</f>
        <v>5</v>
      </c>
    </row>
    <row r="11" spans="1:8" x14ac:dyDescent="0.3">
      <c r="A11" s="5" t="s">
        <v>46</v>
      </c>
      <c r="B11" s="5" t="s">
        <v>45</v>
      </c>
      <c r="C11" s="5" t="s">
        <v>26</v>
      </c>
      <c r="D11" s="6">
        <v>4.7</v>
      </c>
    </row>
    <row r="12" spans="1:8" x14ac:dyDescent="0.3">
      <c r="A12" s="5" t="s">
        <v>27</v>
      </c>
      <c r="B12" s="5" t="s">
        <v>28</v>
      </c>
      <c r="C12" s="5" t="s">
        <v>9</v>
      </c>
      <c r="D12" s="6">
        <v>4.5999999999999996</v>
      </c>
    </row>
    <row r="13" spans="1:8" x14ac:dyDescent="0.3">
      <c r="A13" s="5" t="s">
        <v>39</v>
      </c>
      <c r="B13" s="5" t="s">
        <v>40</v>
      </c>
      <c r="C13" s="5" t="s">
        <v>13</v>
      </c>
      <c r="D13" s="6">
        <v>4.5999999999999996</v>
      </c>
    </row>
    <row r="14" spans="1:8" x14ac:dyDescent="0.3">
      <c r="A14" s="5" t="s">
        <v>44</v>
      </c>
      <c r="B14" s="5" t="s">
        <v>45</v>
      </c>
      <c r="C14" s="5" t="s">
        <v>20</v>
      </c>
      <c r="D14" s="6">
        <v>4.5999999999999996</v>
      </c>
    </row>
    <row r="15" spans="1:8" x14ac:dyDescent="0.3">
      <c r="A15" s="5" t="s">
        <v>29</v>
      </c>
      <c r="B15" s="5" t="s">
        <v>28</v>
      </c>
      <c r="C15" s="5" t="s">
        <v>11</v>
      </c>
      <c r="D15" s="6">
        <v>4.5</v>
      </c>
    </row>
    <row r="16" spans="1:8" x14ac:dyDescent="0.3">
      <c r="A16" s="5" t="s">
        <v>10</v>
      </c>
      <c r="B16" s="5" t="s">
        <v>8</v>
      </c>
      <c r="C16" s="5" t="s">
        <v>11</v>
      </c>
      <c r="D16" s="6">
        <v>4.4000000000000004</v>
      </c>
    </row>
    <row r="17" spans="1:6" x14ac:dyDescent="0.3">
      <c r="A17" s="5" t="s">
        <v>23</v>
      </c>
      <c r="B17" s="5" t="s">
        <v>22</v>
      </c>
      <c r="C17" s="5" t="s">
        <v>13</v>
      </c>
      <c r="D17" s="6">
        <v>4.4000000000000004</v>
      </c>
    </row>
    <row r="18" spans="1:6" x14ac:dyDescent="0.3">
      <c r="A18" s="5" t="s">
        <v>30</v>
      </c>
      <c r="B18" s="5" t="s">
        <v>28</v>
      </c>
      <c r="C18" s="5" t="s">
        <v>26</v>
      </c>
      <c r="D18" s="6">
        <v>4.3</v>
      </c>
    </row>
    <row r="19" spans="1:6" x14ac:dyDescent="0.3">
      <c r="A19" s="5" t="s">
        <v>7</v>
      </c>
      <c r="B19" s="5" t="s">
        <v>8</v>
      </c>
      <c r="C19" s="5" t="s">
        <v>9</v>
      </c>
      <c r="D19" s="6">
        <v>4.2</v>
      </c>
    </row>
    <row r="20" spans="1:6" x14ac:dyDescent="0.3">
      <c r="A20" s="5" t="s">
        <v>17</v>
      </c>
      <c r="B20" s="5" t="s">
        <v>16</v>
      </c>
      <c r="C20" s="5" t="s">
        <v>9</v>
      </c>
      <c r="D20" s="6">
        <v>4.0999999999999996</v>
      </c>
    </row>
    <row r="21" spans="1:6" x14ac:dyDescent="0.3">
      <c r="A21" s="5" t="s">
        <v>47</v>
      </c>
      <c r="B21" s="5" t="s">
        <v>45</v>
      </c>
      <c r="C21" s="5" t="s">
        <v>13</v>
      </c>
      <c r="D21" s="6">
        <v>4.0999999999999996</v>
      </c>
    </row>
    <row r="23" spans="1:6" x14ac:dyDescent="0.3">
      <c r="A23" s="13"/>
      <c r="B23" s="13"/>
      <c r="C23" s="13"/>
      <c r="D23" s="13"/>
      <c r="E23" s="13"/>
      <c r="F23" s="13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21" x14ac:dyDescent="0.4">
      <c r="A1" s="2" t="s">
        <v>60</v>
      </c>
    </row>
    <row r="3" spans="1:1" ht="7.5" customHeight="1" x14ac:dyDescent="0.3">
      <c r="A3" s="9"/>
    </row>
    <row r="4" spans="1:1" ht="30" customHeight="1" x14ac:dyDescent="0.3">
      <c r="A4" s="9" t="s">
        <v>61</v>
      </c>
    </row>
    <row r="5" spans="1:1" ht="7.5" customHeight="1" x14ac:dyDescent="0.3">
      <c r="A5" s="9"/>
    </row>
    <row r="6" spans="1:1" ht="30" customHeight="1" x14ac:dyDescent="0.3">
      <c r="A6" s="9" t="s">
        <v>62</v>
      </c>
    </row>
    <row r="7" spans="1:1" ht="7.5" customHeight="1" x14ac:dyDescent="0.3">
      <c r="A7" s="9"/>
    </row>
    <row r="8" spans="1:1" ht="30" customHeight="1" x14ac:dyDescent="0.3">
      <c r="A8" s="9" t="s">
        <v>63</v>
      </c>
    </row>
    <row r="9" spans="1:1" ht="7.5" customHeight="1" x14ac:dyDescent="0.3">
      <c r="A9" s="9"/>
    </row>
    <row r="10" spans="1:1" ht="30" customHeight="1" x14ac:dyDescent="0.3">
      <c r="A10" s="9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Restaurants</vt:lpstr>
      <vt:lpstr>Dashboard</vt:lpstr>
      <vt:lpstr>Read 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Thakur</cp:lastModifiedBy>
  <cp:revision>1</cp:revision>
  <dcterms:created xsi:type="dcterms:W3CDTF">2026-08-05T06:50:17Z</dcterms:created>
  <dcterms:modified xsi:type="dcterms:W3CDTF">2026-08-05T07:04:27Z</dcterms:modified>
  <dc:language>en-US</dc:language>
</cp:coreProperties>
</file>